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mpany &amp; Public Context" sheetId="2" state="visible" r:id="rId4"/>
    <sheet name="Digital Maturity Assessment" sheetId="3" state="visible" r:id="rId5"/>
    <sheet name="Competitive Benchmark" sheetId="4" state="visible" r:id="rId6"/>
    <sheet name="Impact vs Effort Matrix" sheetId="5" state="visible" r:id="rId7"/>
    <sheet name="Business Case" sheetId="6" state="visible" r:id="rId8"/>
    <sheet name="Implementation Roadmap" sheetId="7" state="visible" r:id="rId9"/>
    <sheet name="Methodology &amp; Cavea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<sst xmlns="http://schemas.openxmlformats.org/spreadsheetml/2006/main" count="168" uniqueCount="163">
  <si>
    <t xml:space="preserve">Dalata Hotel Group — Digital Transformation Business Case</t>
  </si>
  <si>
    <t xml:space="preserve">Author: Valeriia Slastin</t>
  </si>
  <si>
    <t xml:space="preserve">Type: Independent, self-directed project — not affiliated with, commissioned by, or reviewed by</t>
  </si>
  <si>
    <t xml:space="preserve">Dalata Hotel Group, or any professional services firm. Built entirely from publicly available</t>
  </si>
  <si>
    <t xml:space="preserve">information.</t>
  </si>
  <si>
    <t xml:space="preserve">PURPOSE</t>
  </si>
  <si>
    <t xml:space="preserve">A general-consulting-style business case: digital maturity assessment, competitive benchmark,</t>
  </si>
  <si>
    <t xml:space="preserve">prioritised recommendations, and a lightweight financial business case — the standard deliverable</t>
  </si>
  <si>
    <t xml:space="preserve">shape used across audit, advisory, and consulting practices at any professional services firm, not</t>
  </si>
  <si>
    <t xml:space="preserve">written in one specific firm's internal terminology. Built to demonstrate structured business</t>
  </si>
  <si>
    <t xml:space="preserve">problem-solving for graduate consulting/advisory applications generally.</t>
  </si>
  <si>
    <t xml:space="preserve">WHY DALATA HOTEL GROUP</t>
  </si>
  <si>
    <t xml:space="preserve">Dalata is Ireland's largest hotel operator (Clayton and Maldron brands), publicly listed (Euronext</t>
  </si>
  <si>
    <t xml:space="preserve">Dublin/LSE, since 2014), with genuine published financials and a publicly documented, ongoing</t>
  </si>
  <si>
    <t xml:space="preserve">digital transformation programme (new CRM/Customer Experience Platform, a 2024 website</t>
  </si>
  <si>
    <t xml:space="preserve">consolidation project, a EUR3m brand refresh). This means the business case below can anchor to</t>
  </si>
  <si>
    <t xml:space="preserve">real, cited figures rather than a fully hypothetical company.</t>
  </si>
  <si>
    <t xml:space="preserve">SHEETS IN THIS WORKBOOK</t>
  </si>
  <si>
    <t xml:space="preserve">1. README — this page.</t>
  </si>
  <si>
    <t xml:space="preserve">2. Company &amp; Public Context — sourced facts used throughout.</t>
  </si>
  <si>
    <t xml:space="preserve">3. Digital Maturity Assessment — scored across five standard consulting categories.</t>
  </si>
  <si>
    <t xml:space="preserve">4. Competitive Benchmark — comparison against two other hotel operators active in Ireland.</t>
  </si>
  <si>
    <t xml:space="preserve">5. Impact vs Effort Matrix — prioritised initiatives using a standard consulting tool.</t>
  </si>
  <si>
    <t xml:space="preserve">6. Business Case — formula-driven, clearly-labelled illustrative financial model.</t>
  </si>
  <si>
    <t xml:space="preserve">7. Implementation Roadmap — phased recommendations.</t>
  </si>
  <si>
    <t xml:space="preserve">8. Methodology &amp; Caveats — sources, confidence levels, and modelling assumptions.</t>
  </si>
  <si>
    <t xml:space="preserve">DATA HONESTY NOTE</t>
  </si>
  <si>
    <t xml:space="preserve">Company facts (revenue, portfolio size, stated digital initiatives) are sourced and cited in the</t>
  </si>
  <si>
    <t xml:space="preserve">Company &amp; Public Context sheet. The financial model in 'Business Case' uses Dalata's real, published</t>
  </si>
  <si>
    <t xml:space="preserve">revenue as an anchor but models booking-channel mix and commission savings using general hospitality</t>
  </si>
  <si>
    <t xml:space="preserve">industry benchmarks, NOT confirmed Dalata-specific data (which is not public) — this is explicitly</t>
  </si>
  <si>
    <t xml:space="preserve">flagged wherever it appears.</t>
  </si>
  <si>
    <t xml:space="preserve">Fact</t>
  </si>
  <si>
    <t xml:space="preserve">Detail</t>
  </si>
  <si>
    <t xml:space="preserve">Source</t>
  </si>
  <si>
    <t xml:space="preserve">Company overview</t>
  </si>
  <si>
    <t xml:space="preserve">Ireland's largest hotel operator; founded 2007, listed as a PLC in March 2014. Operates over 55 hotels under the Clayton and Maldron brands, plus partner hotels, across Ireland, the UK, and continental Europe.</t>
  </si>
  <si>
    <t xml:space="preserve">Granite (digital agency) case study; LeadIQ company profile</t>
  </si>
  <si>
    <t xml:space="preserve">Scale</t>
  </si>
  <si>
    <t xml:space="preserve">~11,800 rooms currently, with a stated target of 21,000 rooms by 2030. Portfolio valued at approximately EUR1.7 billion as of December 2024.</t>
  </si>
  <si>
    <t xml:space="preserve">Granite case study; MatrixBCG strategy analysis, 2025</t>
  </si>
  <si>
    <t xml:space="preserve">Financial performance</t>
  </si>
  <si>
    <t xml:space="preserve">Record revenue of EUR652.2 million in 2024.</t>
  </si>
  <si>
    <t xml:space="preserve">LeadIQ company profile, citing public company data, 2026</t>
  </si>
  <si>
    <t xml:space="preserve">Recent acquisition</t>
  </si>
  <si>
    <t xml:space="preserve">Acquired the Radisson Blu Hotel at Dublin Airport for EUR83 million, as part of continued portfolio expansion.</t>
  </si>
  <si>
    <t xml:space="preserve">MatrixBCG strategy analysis, 2025</t>
  </si>
  <si>
    <t xml:space="preserve">Digital transformation investment</t>
  </si>
  <si>
    <t xml:space="preserve">Publicly stated rollout of a new Customer Experience Platform (CXP) and CRM system, aimed at more personalised, data-driven guest interactions and omnichannel integration.</t>
  </si>
  <si>
    <t xml:space="preserve">MatrixBCG marketing strategy analysis, 2025</t>
  </si>
  <si>
    <t xml:space="preserve">Brand refresh</t>
  </si>
  <si>
    <t xml:space="preserve">Invested EUR3 million in a brand refresh (May 2024) across the Dalata, Clayton, and Maldron brands.</t>
  </si>
  <si>
    <t xml:space="preserve">Website/booking consolidation</t>
  </si>
  <si>
    <t xml:space="preserve">Completed a project consolidating 55 separate hotel websites into 2 unified sites, using a headless architecture integrated with a third-party booking engine, aimed at improving conversion rates and user journey.</t>
  </si>
  <si>
    <t xml:space="preserve">Granite (digital agency) case study — Granite was the vendor on this project</t>
  </si>
  <si>
    <t xml:space="preserve">Tech stack signals</t>
  </si>
  <si>
    <t xml:space="preserve">Public technology profiling shows use of Drupal, Akamai, and modern front-end tooling (Webpack, jsDelivr) — consistent with the headless website rebuild described above.</t>
  </si>
  <si>
    <t xml:space="preserve">LeadIQ tech stack profile, 2026</t>
  </si>
  <si>
    <t xml:space="preserve">Sales channel strategy</t>
  </si>
  <si>
    <t xml:space="preserve">Publicly described as blending direct online bookings with traditional offline and corporate/travel-agency channels; direct sales teams handle corporate accounts and large event bookings.</t>
  </si>
  <si>
    <t xml:space="preserve">Category</t>
  </si>
  <si>
    <t xml:space="preserve">Public Evidence</t>
  </si>
  <si>
    <t xml:space="preserve">Score (1-5)</t>
  </si>
  <si>
    <t xml:space="preserve">Confidence (1-5)</t>
  </si>
  <si>
    <t xml:space="preserve">Customer Experience</t>
  </si>
  <si>
    <t xml:space="preserve">New CXP/CRM rollout and a 2024 brand refresh signal active investment in guest-facing experience; website consolidation project explicitly targeted user-journey and conversion improvement.</t>
  </si>
  <si>
    <t xml:space="preserve">Direct-Booking / Revenue Channel Mix</t>
  </si>
  <si>
    <t xml:space="preserve">Publicly describes a blended direct/offline/agency channel strategy, but no public figure confirms the actual direct-booking percentage — a real gap addressed in the Business Case sheet via industry-benchmark modelling.</t>
  </si>
  <si>
    <t xml:space="preserve">Data &amp; CRM</t>
  </si>
  <si>
    <t xml:space="preserve">Stated CRM/CXP investment aims at 'more personalised, data-driven guest interactions' — a clear stated intent, though depth of actual data-driven personalisation in practice is not publicly verifiable.</t>
  </si>
  <si>
    <t xml:space="preserve">Technology Stack</t>
  </si>
  <si>
    <t xml:space="preserve">Headless website architecture (2024 rebuild) is a genuinely modern technical choice, consolidating 55 legacy sites into 2 — a meaningful technical debt reduction, publicly documented by the vendor.</t>
  </si>
  <si>
    <t xml:space="preserve">Brand &amp; Marketing Consistency</t>
  </si>
  <si>
    <t xml:space="preserve">EUR3m brand refresh across three hotel brands (Dalata, Clayton, Maldron) signals recent, deliberate investment in consistent brand presentation.</t>
  </si>
  <si>
    <t xml:space="preserve">Average Digital Maturity Score</t>
  </si>
  <si>
    <t xml:space="preserve">Operator</t>
  </si>
  <si>
    <t xml:space="preserve">Ireland Presence</t>
  </si>
  <si>
    <t xml:space="preserve">Public Digital Signal</t>
  </si>
  <si>
    <t xml:space="preserve">Relative Positioning</t>
  </si>
  <si>
    <t xml:space="preserve">Dalata Hotel Group</t>
  </si>
  <si>
    <t xml:space="preserve">55+ hotels (Clayton, Maldron) — largest operator</t>
  </si>
  <si>
    <t xml:space="preserve">Recent headless website rebuild, new CRM/CXP, EUR3m brand refresh (2024) — most recent, most publicly documented transformation activity of the three.</t>
  </si>
  <si>
    <t xml:space="preserve">Leader on recency of transformation investment</t>
  </si>
  <si>
    <t xml:space="preserve">Moran Hotel Group</t>
  </si>
  <si>
    <t xml:space="preserve">Smaller Irish-owned hotel group, multiple properties</t>
  </si>
  <si>
    <t xml:space="preserve">Less public documentation of large-scale digital/tech investment found; primarily traditional booking/marketing presence.</t>
  </si>
  <si>
    <t xml:space="preserve">Likely behind Dalata on digital transformation visibility</t>
  </si>
  <si>
    <t xml:space="preserve">Premier Inn Ireland (Whitbread)</t>
  </si>
  <si>
    <t xml:space="preserve">Growing UK-owned budget chain entering Irish market</t>
  </si>
  <si>
    <t xml:space="preserve">Backed by Whitbread's large-scale, centrally-managed digital booking infrastructure — a different (larger-parent) model rather than an Ireland-specific transformation story.</t>
  </si>
  <si>
    <t xml:space="preserve">Different competitive dynamic — centralised UK-parent tech stack vs. Dalata's Ireland-led transformation</t>
  </si>
  <si>
    <t xml:space="preserve">Note:</t>
  </si>
  <si>
    <t xml:space="preserve">Moran Hotel Group and Premier Inn Ireland comparisons are based on general public search visibility at time of writing, not a systematic competitive intelligence audit. Included to demonstrate benchmarking methodology, not as a definitive competitive ranking.</t>
  </si>
  <si>
    <t xml:space="preserve">Initiative</t>
  </si>
  <si>
    <t xml:space="preserve">Impact (1-5)</t>
  </si>
  <si>
    <t xml:space="preserve">Effort (1-5)</t>
  </si>
  <si>
    <t xml:space="preserve">Quadrant</t>
  </si>
  <si>
    <t xml:space="preserve">Publish clear direct-booking incentives (price-match/loyalty perks) to shift mix away from OTA commission channels</t>
  </si>
  <si>
    <t xml:space="preserve">Extend CRM personalisation from booking confirmation through to post-stay follow-up</t>
  </si>
  <si>
    <t xml:space="preserve">Consolidate remaining legacy micro-sites (if any) onto the new headless architecture</t>
  </si>
  <si>
    <t xml:space="preserve">Build a unified loyalty programme across Clayton and Maldron brands</t>
  </si>
  <si>
    <t xml:space="preserve">Add AI-assisted chat/concierge on the new website for direct-booking support</t>
  </si>
  <si>
    <t xml:space="preserve">LEGEND</t>
  </si>
  <si>
    <t xml:space="preserve">Quick Win = high impact, low effort (do first). Major Project = high impact, high effort (plan properly). Fill-In = low impact, low effort (do if spare capacity). Reconsider = low impact, high effort (deprioritise). Impact/Effort scores are researcher judgement based on the public evidence in the Company &amp; Public Context sheet.</t>
  </si>
  <si>
    <t xml:space="preserve">Business Case — Illustrative Direct-Booking Revenue Opportunity</t>
  </si>
  <si>
    <t xml:space="preserve">Assumption</t>
  </si>
  <si>
    <t xml:space="preserve">Value</t>
  </si>
  <si>
    <t xml:space="preserve">Source / Note</t>
  </si>
  <si>
    <t xml:space="preserve">2024 Group Revenue (EUR)</t>
  </si>
  <si>
    <t xml:space="preserve">Sourced, see Company &amp; Public Context (LeadIQ, 2026)</t>
  </si>
  <si>
    <t xml:space="preserve">Estimated share of revenue from room bookings (vs F&amp;B/events)</t>
  </si>
  <si>
    <t xml:space="preserve">Modelled assumption — typical hotel group room-revenue share; not Dalata-specific confirmed figure</t>
  </si>
  <si>
    <t xml:space="preserve">Estimated current OTA (third-party) booking share</t>
  </si>
  <si>
    <t xml:space="preserve">Modelled assumption — general hospitality industry benchmark range (30-40%); NOT a confirmed Dalata figure</t>
  </si>
  <si>
    <t xml:space="preserve">Typical OTA commission rate</t>
  </si>
  <si>
    <t xml:space="preserve">Modelled assumption — general published hospitality industry benchmark (15-25% range, midpoint used)</t>
  </si>
  <si>
    <t xml:space="preserve">Target shift in booking mix toward direct (percentage points)</t>
  </si>
  <si>
    <t xml:space="preserve">Illustrative scenario — a 5-point shift is used as a conservative, achievable target for modelling purposes only</t>
  </si>
  <si>
    <t xml:space="preserve">Illustrative Calculation</t>
  </si>
  <si>
    <t xml:space="preserve">Estimated room revenue (EUR)</t>
  </si>
  <si>
    <t xml:space="preserve">Revenue in scope for booking-mix shift (EUR)</t>
  </si>
  <si>
    <t xml:space="preserve">Illustrative annual commission saving (EUR)</t>
  </si>
  <si>
    <t xml:space="preserve">Caveat: this is an illustrative scenario built on industry-benchmark assumptions, not Dalata's actual booking-channel data (which is not public). It demonstrates the modelling approach a real engagement would refine with the client's actual figures — not a claimed real saving.</t>
  </si>
  <si>
    <t xml:space="preserve">Phase</t>
  </si>
  <si>
    <t xml:space="preserve">Rationale</t>
  </si>
  <si>
    <t xml:space="preserve">NOW</t>
  </si>
  <si>
    <t xml:space="preserve">Publish clear direct-booking incentives on the newly rebuilt website</t>
  </si>
  <si>
    <t xml:space="preserve">Quick Win per the Impact/Effort matrix — leverages the 2024 website rebuild that's already live.</t>
  </si>
  <si>
    <t xml:space="preserve">Audit current OTA vs. direct booking mix internally to replace modelled assumptions with real figures</t>
  </si>
  <si>
    <t xml:space="preserve">The Business Case model here is illustrative precisely because this internal figure isn't public — this is the first real step any actual engagement would take.</t>
  </si>
  <si>
    <t xml:space="preserve">NEXT</t>
  </si>
  <si>
    <t xml:space="preserve">Extend CRM personalisation across the full guest journey, not just booking confirmation</t>
  </si>
  <si>
    <t xml:space="preserve">Builds on the already-announced CXP/CRM investment rather than proposing a new system.</t>
  </si>
  <si>
    <t xml:space="preserve">Build a unified loyalty programme across Clayton and Maldron</t>
  </si>
  <si>
    <t xml:space="preserve">Higher effort/impact initiative — sequenced after quicker wins are banked.</t>
  </si>
  <si>
    <t xml:space="preserve">ONGOING</t>
  </si>
  <si>
    <t xml:space="preserve">Track direct-booking share quarterly as the headline KPI for the transformation programme</t>
  </si>
  <si>
    <t xml:space="preserve">Gives the business case a measurable, ongoing success metric rather than a one-off project.</t>
  </si>
  <si>
    <t xml:space="preserve">Methodology &amp; Caveats</t>
  </si>
  <si>
    <t xml:space="preserve">SOURCES</t>
  </si>
  <si>
    <t xml:space="preserve">Company facts are drawn from public sources named in 'Company &amp; Public Context': a digital agency's</t>
  </si>
  <si>
    <t xml:space="preserve">published case study of Dalata's own website rebuild project, a company data profile (LeadIQ), and</t>
  </si>
  <si>
    <t xml:space="preserve">third-party strategy analysis (MatrixBCG) referencing Dalata's own public statements. No internal</t>
  </si>
  <si>
    <t xml:space="preserve">company data, financials beyond what is publicly reported, or private communications were used.</t>
  </si>
  <si>
    <t xml:space="preserve">WHAT IS SOURCED VS. MODELLED</t>
  </si>
  <si>
    <t xml:space="preserve">Company facts (revenue, portfolio size, stated initiatives) are sourced and cited. The Digital</t>
  </si>
  <si>
    <t xml:space="preserve">Maturity scores and Impact/Effort ratings are the author's own structured judgement applied to that</t>
  </si>
  <si>
    <t xml:space="preserve">evidence. The Business Case financial model explicitly uses general hospitality industry benchmarks</t>
  </si>
  <si>
    <t xml:space="preserve">(OTA commission rates, typical booking-mix ranges) rather than Dalata-specific confirmed figures,</t>
  </si>
  <si>
    <t xml:space="preserve">because the latter is not public — this is stated directly on the Business Case sheet itself, not</t>
  </si>
  <si>
    <t xml:space="preserve">just here.</t>
  </si>
  <si>
    <t xml:space="preserve">WHY THIS FORMAT</t>
  </si>
  <si>
    <t xml:space="preserve">This workbook deliberately avoids the internal terminology of any single professional services firm</t>
  </si>
  <si>
    <t xml:space="preserve">(e.g. it does not use EY's 'People Consulting' language or any firm-specific practice names). The</t>
  </si>
  <si>
    <t xml:space="preserve">structure — situation, diagnosis, prioritisation, business case, roadmap — reflects the general shape</t>
  </si>
  <si>
    <t xml:space="preserve">of a business case used across audit, advisory, and consulting practices broadly, so the same</t>
  </si>
  <si>
    <t xml:space="preserve">artifact is relevant across multiple firms' graduate programmes.</t>
  </si>
  <si>
    <t xml:space="preserve">LIMITATIONS</t>
  </si>
  <si>
    <t xml:space="preserve">This is a portfolio exercise built from public sources in a short timeframe, not a commissioned</t>
  </si>
  <si>
    <t xml:space="preserve">engagement. A real engagement would use the client's actual internal data (true OTA/direct booking</t>
  </si>
  <si>
    <t xml:space="preserve">split, actual guest data, real cost structures) rather than industry-benchmark modelling. This</t>
  </si>
  <si>
    <t xml:space="preserve">workbook demonstrates the analytical framework and business-case methodology, not a claim of</t>
  </si>
  <si>
    <t xml:space="preserve">real, achieved, or guaranteed results for Dalata Hotel Group.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</si>
</sst>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€#,##0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2" t="s">
        <v>30</v>
      </c>
    </row>
    <row r="37" customFormat="false" ht="15" hidden="false" customHeight="false" outlineLevel="0" collapsed="false">
      <c r="A37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34"/>
  </cols>
  <sheetData>
    <row r="1" customFormat="false" ht="30" hidden="false" customHeight="true" outlineLevel="0" collapsed="false">
      <c r="A1" s="4" t="s">
        <v>32</v>
      </c>
      <c r="B1" s="4" t="s">
        <v>33</v>
      </c>
      <c r="C1" s="4" t="s">
        <v>34</v>
      </c>
    </row>
    <row r="2" customFormat="false" ht="52.2" hidden="false" customHeight="false" outlineLevel="0" collapsed="false">
      <c r="A2" s="5" t="s">
        <v>35</v>
      </c>
      <c r="B2" s="6" t="s">
        <v>36</v>
      </c>
      <c r="C2" s="7" t="s">
        <v>37</v>
      </c>
    </row>
    <row r="3" customFormat="false" ht="39.55" hidden="false" customHeight="false" outlineLevel="0" collapsed="false">
      <c r="A3" s="5" t="s">
        <v>38</v>
      </c>
      <c r="B3" s="6" t="s">
        <v>39</v>
      </c>
      <c r="C3" s="7" t="s">
        <v>40</v>
      </c>
    </row>
    <row r="4" customFormat="false" ht="23.85" hidden="false" customHeight="false" outlineLevel="0" collapsed="false">
      <c r="A4" s="5" t="s">
        <v>41</v>
      </c>
      <c r="B4" s="6" t="s">
        <v>42</v>
      </c>
      <c r="C4" s="7" t="s">
        <v>43</v>
      </c>
    </row>
    <row r="5" customFormat="false" ht="26.85" hidden="false" customHeight="false" outlineLevel="0" collapsed="false">
      <c r="A5" s="5" t="s">
        <v>44</v>
      </c>
      <c r="B5" s="6" t="s">
        <v>45</v>
      </c>
      <c r="C5" s="7" t="s">
        <v>46</v>
      </c>
    </row>
    <row r="6" customFormat="false" ht="39.55" hidden="false" customHeight="false" outlineLevel="0" collapsed="false">
      <c r="A6" s="5" t="s">
        <v>47</v>
      </c>
      <c r="B6" s="6" t="s">
        <v>48</v>
      </c>
      <c r="C6" s="7" t="s">
        <v>49</v>
      </c>
    </row>
    <row r="7" customFormat="false" ht="26.85" hidden="false" customHeight="false" outlineLevel="0" collapsed="false">
      <c r="A7" s="5" t="s">
        <v>50</v>
      </c>
      <c r="B7" s="6" t="s">
        <v>51</v>
      </c>
      <c r="C7" s="7" t="s">
        <v>49</v>
      </c>
    </row>
    <row r="8" customFormat="false" ht="52.2" hidden="false" customHeight="false" outlineLevel="0" collapsed="false">
      <c r="A8" s="5" t="s">
        <v>52</v>
      </c>
      <c r="B8" s="6" t="s">
        <v>53</v>
      </c>
      <c r="C8" s="7" t="s">
        <v>54</v>
      </c>
    </row>
    <row r="9" customFormat="false" ht="39.55" hidden="false" customHeight="false" outlineLevel="0" collapsed="false">
      <c r="A9" s="5" t="s">
        <v>55</v>
      </c>
      <c r="B9" s="6" t="s">
        <v>56</v>
      </c>
      <c r="C9" s="7" t="s">
        <v>57</v>
      </c>
    </row>
    <row r="10" customFormat="false" ht="52.2" hidden="false" customHeight="false" outlineLevel="0" collapsed="false">
      <c r="A10" s="5" t="s">
        <v>58</v>
      </c>
      <c r="B10" s="6" t="s">
        <v>59</v>
      </c>
      <c r="C10" s="7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4" min="3" style="0" width="12"/>
  </cols>
  <sheetData>
    <row r="1" customFormat="false" ht="30" hidden="false" customHeight="true" outlineLevel="0" collapsed="false">
      <c r="A1" s="4" t="s">
        <v>60</v>
      </c>
      <c r="B1" s="4" t="s">
        <v>61</v>
      </c>
      <c r="C1" s="4" t="s">
        <v>62</v>
      </c>
      <c r="D1" s="4" t="s">
        <v>63</v>
      </c>
    </row>
    <row r="2" customFormat="false" ht="52.2" hidden="false" customHeight="false" outlineLevel="0" collapsed="false">
      <c r="A2" s="5" t="s">
        <v>64</v>
      </c>
      <c r="B2" s="6" t="s">
        <v>65</v>
      </c>
      <c r="C2" s="8" t="n">
        <v>4</v>
      </c>
      <c r="D2" s="8" t="n">
        <v>3</v>
      </c>
    </row>
    <row r="3" customFormat="false" ht="52.2" hidden="false" customHeight="false" outlineLevel="0" collapsed="false">
      <c r="A3" s="5" t="s">
        <v>66</v>
      </c>
      <c r="B3" s="6" t="s">
        <v>67</v>
      </c>
      <c r="C3" s="8" t="n">
        <v>3</v>
      </c>
      <c r="D3" s="8" t="n">
        <v>2</v>
      </c>
    </row>
    <row r="4" customFormat="false" ht="52.2" hidden="false" customHeight="false" outlineLevel="0" collapsed="false">
      <c r="A4" s="5" t="s">
        <v>68</v>
      </c>
      <c r="B4" s="6" t="s">
        <v>69</v>
      </c>
      <c r="C4" s="8" t="n">
        <v>3</v>
      </c>
      <c r="D4" s="8" t="n">
        <v>2</v>
      </c>
    </row>
    <row r="5" customFormat="false" ht="52.2" hidden="false" customHeight="false" outlineLevel="0" collapsed="false">
      <c r="A5" s="5" t="s">
        <v>70</v>
      </c>
      <c r="B5" s="6" t="s">
        <v>71</v>
      </c>
      <c r="C5" s="8" t="n">
        <v>4</v>
      </c>
      <c r="D5" s="8" t="n">
        <v>3</v>
      </c>
    </row>
    <row r="6" customFormat="false" ht="39.55" hidden="false" customHeight="false" outlineLevel="0" collapsed="false">
      <c r="A6" s="5" t="s">
        <v>72</v>
      </c>
      <c r="B6" s="6" t="s">
        <v>73</v>
      </c>
      <c r="C6" s="8" t="n">
        <v>4</v>
      </c>
      <c r="D6" s="8" t="n">
        <v>3</v>
      </c>
    </row>
    <row r="8" customFormat="false" ht="15" hidden="false" customHeight="false" outlineLevel="0" collapsed="false">
      <c r="A8" s="9" t="s">
        <v>74</v>
      </c>
      <c r="C8" s="10" t="n">
        <f aca="false">AVERAGE(C2:C6)</f>
        <v>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30"/>
  </cols>
  <sheetData>
    <row r="1" customFormat="false" ht="30" hidden="false" customHeight="true" outlineLevel="0" collapsed="false">
      <c r="A1" s="4" t="s">
        <v>75</v>
      </c>
      <c r="B1" s="4" t="s">
        <v>76</v>
      </c>
      <c r="C1" s="4" t="s">
        <v>77</v>
      </c>
      <c r="D1" s="4" t="s">
        <v>78</v>
      </c>
    </row>
    <row r="2" customFormat="false" ht="52.2" hidden="false" customHeight="false" outlineLevel="0" collapsed="false">
      <c r="A2" s="5" t="s">
        <v>79</v>
      </c>
      <c r="B2" s="6" t="s">
        <v>80</v>
      </c>
      <c r="C2" s="6" t="s">
        <v>81</v>
      </c>
      <c r="D2" s="6" t="s">
        <v>82</v>
      </c>
    </row>
    <row r="3" customFormat="false" ht="39.55" hidden="false" customHeight="false" outlineLevel="0" collapsed="false">
      <c r="A3" s="5" t="s">
        <v>83</v>
      </c>
      <c r="B3" s="6" t="s">
        <v>84</v>
      </c>
      <c r="C3" s="6" t="s">
        <v>85</v>
      </c>
      <c r="D3" s="6" t="s">
        <v>86</v>
      </c>
    </row>
    <row r="4" customFormat="false" ht="52.2" hidden="false" customHeight="false" outlineLevel="0" collapsed="false">
      <c r="A4" s="5" t="s">
        <v>87</v>
      </c>
      <c r="B4" s="6" t="s">
        <v>88</v>
      </c>
      <c r="C4" s="6" t="s">
        <v>89</v>
      </c>
      <c r="D4" s="6" t="s">
        <v>90</v>
      </c>
    </row>
    <row r="6" customFormat="false" ht="15" hidden="false" customHeight="false" outlineLevel="0" collapsed="false">
      <c r="A6" s="11" t="s">
        <v>91</v>
      </c>
    </row>
    <row r="7" customFormat="false" ht="39.55" hidden="false" customHeight="true" outlineLevel="0" collapsed="false">
      <c r="A7" s="12" t="s">
        <v>92</v>
      </c>
      <c r="B7" s="12"/>
      <c r="C7" s="12"/>
      <c r="D7" s="12"/>
    </row>
  </sheetData>
  <mergeCells count="1"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4"/>
    <col collapsed="false" customWidth="true" hidden="false" outlineLevel="0" max="4" min="4" style="0" width="22"/>
  </cols>
  <sheetData>
    <row r="1" customFormat="false" ht="30" hidden="false" customHeight="true" outlineLevel="0" collapsed="false">
      <c r="A1" s="4" t="s">
        <v>93</v>
      </c>
      <c r="B1" s="4" t="s">
        <v>94</v>
      </c>
      <c r="C1" s="4" t="s">
        <v>95</v>
      </c>
      <c r="D1" s="4" t="s">
        <v>96</v>
      </c>
    </row>
    <row r="2" customFormat="false" ht="39.55" hidden="false" customHeight="false" outlineLevel="0" collapsed="false">
      <c r="A2" s="6" t="s">
        <v>97</v>
      </c>
      <c r="B2" s="8" t="n">
        <v>5</v>
      </c>
      <c r="C2" s="8" t="n">
        <v>2</v>
      </c>
      <c r="D2" s="13" t="str">
        <f aca="false">IF(AND(B2&gt;=4,C2&lt;=2),"Quick Win",IF(AND(B2&gt;=4,C2&gt;=3),"Major Project",IF(AND(B2&lt;=3,C2&lt;=2),"Fill-In","Reconsider")))</f>
        <v>Quick Win</v>
      </c>
    </row>
    <row r="3" customFormat="false" ht="26.85" hidden="false" customHeight="false" outlineLevel="0" collapsed="false">
      <c r="A3" s="6" t="s">
        <v>98</v>
      </c>
      <c r="B3" s="8" t="n">
        <v>4</v>
      </c>
      <c r="C3" s="8" t="n">
        <v>3</v>
      </c>
      <c r="D3" s="13" t="str">
        <f aca="false">IF(AND(B3&gt;=4,C3&lt;=2),"Quick Win",IF(AND(B3&gt;=4,C3&gt;=3),"Major Project",IF(AND(B3&lt;=3,C3&lt;=2),"Fill-In","Reconsider")))</f>
        <v>Major Project</v>
      </c>
    </row>
    <row r="4" customFormat="false" ht="26.85" hidden="false" customHeight="false" outlineLevel="0" collapsed="false">
      <c r="A4" s="6" t="s">
        <v>99</v>
      </c>
      <c r="B4" s="8" t="n">
        <v>3</v>
      </c>
      <c r="C4" s="8" t="n">
        <v>2</v>
      </c>
      <c r="D4" s="13" t="str">
        <f aca="false">IF(AND(B4&gt;=4,C4&lt;=2),"Quick Win",IF(AND(B4&gt;=4,C4&gt;=3),"Major Project",IF(AND(B4&lt;=3,C4&lt;=2),"Fill-In","Reconsider")))</f>
        <v>Fill-In</v>
      </c>
    </row>
    <row r="5" customFormat="false" ht="26.85" hidden="false" customHeight="false" outlineLevel="0" collapsed="false">
      <c r="A5" s="6" t="s">
        <v>100</v>
      </c>
      <c r="B5" s="8" t="n">
        <v>5</v>
      </c>
      <c r="C5" s="8" t="n">
        <v>4</v>
      </c>
      <c r="D5" s="13" t="str">
        <f aca="false">IF(AND(B5&gt;=4,C5&lt;=2),"Quick Win",IF(AND(B5&gt;=4,C5&gt;=3),"Major Project",IF(AND(B5&lt;=3,C5&lt;=2),"Fill-In","Reconsider")))</f>
        <v>Major Project</v>
      </c>
    </row>
    <row r="6" customFormat="false" ht="26.85" hidden="false" customHeight="false" outlineLevel="0" collapsed="false">
      <c r="A6" s="6" t="s">
        <v>101</v>
      </c>
      <c r="B6" s="8" t="n">
        <v>3</v>
      </c>
      <c r="C6" s="8" t="n">
        <v>3</v>
      </c>
      <c r="D6" s="13" t="str">
        <f aca="false">IF(AND(B6&gt;=4,C6&lt;=2),"Quick Win",IF(AND(B6&gt;=4,C6&gt;=3),"Major Project",IF(AND(B6&lt;=3,C6&lt;=2),"Fill-In","Reconsider")))</f>
        <v>Reconsider</v>
      </c>
    </row>
    <row r="8" customFormat="false" ht="15" hidden="false" customHeight="false" outlineLevel="0" collapsed="false">
      <c r="A8" s="11" t="s">
        <v>102</v>
      </c>
    </row>
    <row r="9" customFormat="false" ht="52.2" hidden="false" customHeight="true" outlineLevel="0" collapsed="false">
      <c r="A9" s="12" t="s">
        <v>103</v>
      </c>
      <c r="B9" s="12"/>
      <c r="C9" s="12"/>
      <c r="D9" s="12"/>
    </row>
  </sheetData>
  <mergeCells count="1"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4" t="s">
        <v>104</v>
      </c>
      <c r="B1" s="14"/>
      <c r="C1" s="14"/>
    </row>
    <row r="2" customFormat="false" ht="30" hidden="false" customHeight="true" outlineLevel="0" collapsed="false">
      <c r="A2" s="4" t="s">
        <v>105</v>
      </c>
      <c r="B2" s="4" t="s">
        <v>106</v>
      </c>
      <c r="C2" s="4" t="s">
        <v>107</v>
      </c>
    </row>
    <row r="3" customFormat="false" ht="15" hidden="false" customHeight="false" outlineLevel="0" collapsed="false">
      <c r="A3" s="5" t="s">
        <v>108</v>
      </c>
      <c r="B3" s="15" t="n">
        <v>652200000</v>
      </c>
      <c r="C3" s="7" t="s">
        <v>109</v>
      </c>
    </row>
    <row r="4" customFormat="false" ht="26.85" hidden="false" customHeight="false" outlineLevel="0" collapsed="false">
      <c r="A4" s="5" t="s">
        <v>110</v>
      </c>
      <c r="B4" s="16" t="n">
        <v>0.75</v>
      </c>
      <c r="C4" s="7" t="s">
        <v>111</v>
      </c>
    </row>
    <row r="5" customFormat="false" ht="26.85" hidden="false" customHeight="false" outlineLevel="0" collapsed="false">
      <c r="A5" s="5" t="s">
        <v>112</v>
      </c>
      <c r="B5" s="16" t="n">
        <v>0.35</v>
      </c>
      <c r="C5" s="7" t="s">
        <v>113</v>
      </c>
    </row>
    <row r="6" customFormat="false" ht="23.85" hidden="false" customHeight="false" outlineLevel="0" collapsed="false">
      <c r="A6" s="5" t="s">
        <v>114</v>
      </c>
      <c r="B6" s="16" t="n">
        <v>0.18</v>
      </c>
      <c r="C6" s="7" t="s">
        <v>115</v>
      </c>
    </row>
    <row r="7" customFormat="false" ht="26.85" hidden="false" customHeight="false" outlineLevel="0" collapsed="false">
      <c r="A7" s="5" t="s">
        <v>116</v>
      </c>
      <c r="B7" s="16" t="n">
        <v>0.05</v>
      </c>
      <c r="C7" s="7" t="s">
        <v>117</v>
      </c>
    </row>
    <row r="9" customFormat="false" ht="15" hidden="false" customHeight="false" outlineLevel="0" collapsed="false">
      <c r="A9" s="17" t="s">
        <v>118</v>
      </c>
      <c r="B9" s="17"/>
      <c r="C9" s="17"/>
    </row>
    <row r="10" customFormat="false" ht="15" hidden="false" customHeight="false" outlineLevel="0" collapsed="false">
      <c r="A10" s="18" t="s">
        <v>119</v>
      </c>
      <c r="B10" s="19" t="n">
        <f aca="false">B3*B4</f>
        <v>489150000</v>
      </c>
    </row>
    <row r="11" customFormat="false" ht="15" hidden="false" customHeight="false" outlineLevel="0" collapsed="false">
      <c r="A11" s="18" t="s">
        <v>120</v>
      </c>
      <c r="B11" s="19" t="n">
        <f aca="false">B10*B7</f>
        <v>24457500</v>
      </c>
    </row>
    <row r="12" customFormat="false" ht="15" hidden="false" customHeight="false" outlineLevel="0" collapsed="false">
      <c r="A12" s="9" t="s">
        <v>121</v>
      </c>
      <c r="B12" s="20" t="n">
        <f aca="false">B11*B6</f>
        <v>4402350</v>
      </c>
    </row>
    <row r="14" customFormat="false" ht="45" hidden="false" customHeight="true" outlineLevel="0" collapsed="false">
      <c r="A14" s="21" t="s">
        <v>122</v>
      </c>
      <c r="B14" s="21"/>
      <c r="C14" s="21"/>
    </row>
  </sheetData>
  <mergeCells count="3">
    <mergeCell ref="A1:C1"/>
    <mergeCell ref="A9:C9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30" hidden="false" customHeight="true" outlineLevel="0" collapsed="false">
      <c r="A1" s="4" t="s">
        <v>123</v>
      </c>
      <c r="B1" s="4" t="s">
        <v>93</v>
      </c>
      <c r="C1" s="4" t="s">
        <v>124</v>
      </c>
    </row>
    <row r="2" customFormat="false" ht="26.85" hidden="false" customHeight="false" outlineLevel="0" collapsed="false">
      <c r="A2" s="9" t="s">
        <v>125</v>
      </c>
      <c r="B2" s="6" t="s">
        <v>126</v>
      </c>
      <c r="C2" s="6" t="s">
        <v>127</v>
      </c>
    </row>
    <row r="3" customFormat="false" ht="39.55" hidden="false" customHeight="false" outlineLevel="0" collapsed="false">
      <c r="A3" s="9" t="s">
        <v>125</v>
      </c>
      <c r="B3" s="6" t="s">
        <v>128</v>
      </c>
      <c r="C3" s="6" t="s">
        <v>129</v>
      </c>
    </row>
    <row r="4" customFormat="false" ht="39.55" hidden="false" customHeight="false" outlineLevel="0" collapsed="false">
      <c r="A4" s="9" t="s">
        <v>130</v>
      </c>
      <c r="B4" s="6" t="s">
        <v>131</v>
      </c>
      <c r="C4" s="6" t="s">
        <v>132</v>
      </c>
    </row>
    <row r="5" customFormat="false" ht="26.85" hidden="false" customHeight="false" outlineLevel="0" collapsed="false">
      <c r="A5" s="9" t="s">
        <v>130</v>
      </c>
      <c r="B5" s="6" t="s">
        <v>133</v>
      </c>
      <c r="C5" s="6" t="s">
        <v>134</v>
      </c>
    </row>
    <row r="6" customFormat="false" ht="39.55" hidden="false" customHeight="false" outlineLevel="0" collapsed="false">
      <c r="A6" s="9" t="s">
        <v>135</v>
      </c>
      <c r="B6" s="6" t="s">
        <v>136</v>
      </c>
      <c r="C6" s="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139</v>
      </c>
    </row>
    <row r="4" customFormat="false" ht="15" hidden="false" customHeight="false" outlineLevel="0" collapsed="false">
      <c r="A4" s="2" t="s">
        <v>140</v>
      </c>
    </row>
    <row r="5" customFormat="false" ht="15" hidden="false" customHeight="false" outlineLevel="0" collapsed="false">
      <c r="A5" s="2" t="s">
        <v>141</v>
      </c>
    </row>
    <row r="6" customFormat="false" ht="15" hidden="false" customHeight="false" outlineLevel="0" collapsed="false">
      <c r="A6" s="2" t="s">
        <v>142</v>
      </c>
    </row>
    <row r="7" customFormat="false" ht="15" hidden="false" customHeight="false" outlineLevel="0" collapsed="false">
      <c r="A7" s="2" t="s">
        <v>143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144</v>
      </c>
    </row>
    <row r="10" customFormat="false" ht="15" hidden="false" customHeight="false" outlineLevel="0" collapsed="false">
      <c r="A10" s="2" t="s">
        <v>145</v>
      </c>
    </row>
    <row r="11" customFormat="false" ht="15" hidden="false" customHeight="false" outlineLevel="0" collapsed="false">
      <c r="A11" s="2" t="s">
        <v>146</v>
      </c>
    </row>
    <row r="12" customFormat="false" ht="15" hidden="false" customHeight="false" outlineLevel="0" collapsed="false">
      <c r="A12" s="2" t="s">
        <v>147</v>
      </c>
    </row>
    <row r="13" customFormat="false" ht="15" hidden="false" customHeight="false" outlineLevel="0" collapsed="false">
      <c r="A13" s="2" t="s">
        <v>148</v>
      </c>
    </row>
    <row r="14" customFormat="false" ht="15" hidden="false" customHeight="false" outlineLevel="0" collapsed="false">
      <c r="A14" s="2" t="s">
        <v>149</v>
      </c>
    </row>
    <row r="15" customFormat="false" ht="15" hidden="false" customHeight="false" outlineLevel="0" collapsed="false">
      <c r="A15" s="2" t="s">
        <v>150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151</v>
      </c>
    </row>
    <row r="18" customFormat="false" ht="15" hidden="false" customHeight="false" outlineLevel="0" collapsed="false">
      <c r="A18" s="2" t="s">
        <v>152</v>
      </c>
    </row>
    <row r="19" customFormat="false" ht="15" hidden="false" customHeight="false" outlineLevel="0" collapsed="false">
      <c r="A19" s="2" t="s">
        <v>153</v>
      </c>
    </row>
    <row r="20" customFormat="false" ht="15" hidden="false" customHeight="false" outlineLevel="0" collapsed="false">
      <c r="A20" s="2" t="s">
        <v>154</v>
      </c>
    </row>
    <row r="21" customFormat="false" ht="15" hidden="false" customHeight="false" outlineLevel="0" collapsed="false">
      <c r="A21" s="2" t="s">
        <v>155</v>
      </c>
    </row>
    <row r="22" customFormat="false" ht="15" hidden="false" customHeight="false" outlineLevel="0" collapsed="false">
      <c r="A22" s="2" t="s">
        <v>156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157</v>
      </c>
    </row>
    <row r="25" customFormat="false" ht="15" hidden="false" customHeight="false" outlineLevel="0" collapsed="false">
      <c r="A25" s="2" t="s">
        <v>158</v>
      </c>
    </row>
    <row r="26" customFormat="false" ht="15" hidden="false" customHeight="false" outlineLevel="0" collapsed="false">
      <c r="A26" s="2" t="s">
        <v>159</v>
      </c>
    </row>
    <row r="27" customFormat="false" ht="15" hidden="false" customHeight="false" outlineLevel="0" collapsed="false">
      <c r="A27" s="2" t="s">
        <v>160</v>
      </c>
    </row>
    <row r="28" customFormat="false" ht="15" hidden="false" customHeight="false" outlineLevel="0" collapsed="false">
      <c r="A28" s="2" t="s">
        <v>161</v>
      </c>
    </row>
    <row r="29" customFormat="false" ht="15" hidden="false" customHeight="false" outlineLevel="0" collapsed="false">
      <c r="A29" s="2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2026-09-16T14:59:25Z</dcterms:created>
  <dc:creator>openpyxl</dc:creator>
  <dc:description/>
  <dc:language>en-US</dc:language>
  <cp:lastModifiedBy/>
  <dcterms:modified xsi:type="dcterms:W3CDTF">2026-09-16T14:59:25Z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